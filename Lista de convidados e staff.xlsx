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 Fernandes\Downloads\"/>
    </mc:Choice>
  </mc:AlternateContent>
  <xr:revisionPtr revIDLastSave="0" documentId="13_ncr:1_{97CD9556-37DA-4426-8B5C-8057C5972EF7}" xr6:coauthVersionLast="47" xr6:coauthVersionMax="47" xr10:uidLastSave="{00000000-0000-0000-0000-000000000000}"/>
  <bookViews>
    <workbookView xWindow="-120" yWindow="-120" windowWidth="29040" windowHeight="15720" xr2:uid="{F600CBAC-B2F4-49F5-B2A4-B4721859211D}"/>
  </bookViews>
  <sheets>
    <sheet name="Planilha1" sheetId="1" r:id="rId1"/>
    <sheet name="Planilha2" sheetId="2" r:id="rId2"/>
    <sheet name="Planilha3" sheetId="3" r:id="rId3"/>
  </sheets>
  <definedNames>
    <definedName name="_xlnm._FilterDatabase" localSheetId="0" hidden="1">Planilha1!$A$1:$B$53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2" i="1"/>
</calcChain>
</file>

<file path=xl/sharedStrings.xml><?xml version="1.0" encoding="utf-8"?>
<sst xmlns="http://schemas.openxmlformats.org/spreadsheetml/2006/main" count="428" uniqueCount="153">
  <si>
    <t>Renato Garcia</t>
  </si>
  <si>
    <t>Bento Oliviera</t>
  </si>
  <si>
    <t>Savino Sashov Batanov</t>
  </si>
  <si>
    <t>Carl Ek</t>
  </si>
  <si>
    <t>Bonislav Dishkov</t>
  </si>
  <si>
    <t>Pedro Villanueva</t>
  </si>
  <si>
    <t>Peter Larsen</t>
  </si>
  <si>
    <t>Claude Nzeza Zi Ngeti</t>
  </si>
  <si>
    <t>Raul Lopes</t>
  </si>
  <si>
    <t>François Benhamou</t>
  </si>
  <si>
    <t>Patrick Avram</t>
  </si>
  <si>
    <t>Assis Mentor de Mello Filho</t>
  </si>
  <si>
    <t>Everson Craveiro</t>
  </si>
  <si>
    <t>Luiz Fernando Mokwa</t>
  </si>
  <si>
    <t>Wagner Rodrigues</t>
  </si>
  <si>
    <t>Pedro Brito</t>
  </si>
  <si>
    <t>Nelson Luiz Frare</t>
  </si>
  <si>
    <t>José Vinholi Júnior</t>
  </si>
  <si>
    <t>Eduardo Tomanik</t>
  </si>
  <si>
    <t>Raimundo Hermes Barbosa</t>
  </si>
  <si>
    <t>Alfredo Henrique Pugliese</t>
  </si>
  <si>
    <t>Aureo Bernardo Junior</t>
  </si>
  <si>
    <t>Mauro Tippi</t>
  </si>
  <si>
    <t>Valentin Oprea</t>
  </si>
  <si>
    <t>Rui Stragliotto</t>
  </si>
  <si>
    <t>Benedito Marques Ballouk Filho</t>
  </si>
  <si>
    <t>Lista de Staff</t>
  </si>
  <si>
    <t>Leandro Moreira</t>
  </si>
  <si>
    <t>Mario Pena</t>
  </si>
  <si>
    <t>Ricardo Moreira</t>
  </si>
  <si>
    <t>Sergio Rodrigues</t>
  </si>
  <si>
    <t>Claudio Garcia</t>
  </si>
  <si>
    <t>Marcio Steinbruch</t>
  </si>
  <si>
    <t>Sandro Luiz</t>
  </si>
  <si>
    <t>Claudio Silva</t>
  </si>
  <si>
    <t>Antonio Carlos Pereira Gomes</t>
  </si>
  <si>
    <t>Paulo Limiro</t>
  </si>
  <si>
    <t>Francis Bassi</t>
  </si>
  <si>
    <t>Alfeu Doria</t>
  </si>
  <si>
    <t>Omar Zacharias</t>
  </si>
  <si>
    <t>Everth Bonavolonta</t>
  </si>
  <si>
    <t xml:space="preserve">Sergio Vieira </t>
  </si>
  <si>
    <t>Raphael Lima</t>
  </si>
  <si>
    <t>Kleber de Souza</t>
  </si>
  <si>
    <t>Camilo Stefanelli</t>
  </si>
  <si>
    <t>Dayvi Mizrahi</t>
  </si>
  <si>
    <t>Mauricio Ludovico</t>
  </si>
  <si>
    <t>Nome</t>
  </si>
  <si>
    <t xml:space="preserve"> Cim</t>
  </si>
  <si>
    <t xml:space="preserve">Ângelo Berto </t>
  </si>
  <si>
    <t>Helio Alvarez</t>
  </si>
  <si>
    <t xml:space="preserve">Luis Felipe de Oliveira </t>
  </si>
  <si>
    <t>CIM</t>
  </si>
  <si>
    <t>ID</t>
  </si>
  <si>
    <t>CodigoEmail</t>
  </si>
  <si>
    <t>Contato</t>
  </si>
  <si>
    <t>DataCadastro</t>
  </si>
  <si>
    <t>HoraCadastro</t>
  </si>
  <si>
    <t>MEMBRO</t>
  </si>
  <si>
    <t>PermissaoAPP</t>
  </si>
  <si>
    <t>Status</t>
  </si>
  <si>
    <t>Tipo</t>
  </si>
  <si>
    <t>E73313</t>
  </si>
  <si>
    <t>francis@acovisa.com.br</t>
  </si>
  <si>
    <t>Confirmado</t>
  </si>
  <si>
    <t>Email</t>
  </si>
  <si>
    <t>E53058</t>
  </si>
  <si>
    <t>mauro.tippi@gmail.com</t>
  </si>
  <si>
    <t>E16096</t>
  </si>
  <si>
    <t>gosp@com.br</t>
  </si>
  <si>
    <t>Pendente</t>
  </si>
  <si>
    <t>E82536</t>
  </si>
  <si>
    <t>n.frare@uol.com.br</t>
  </si>
  <si>
    <t>E71860</t>
  </si>
  <si>
    <t>omar.zacharias@gosp.org.br</t>
  </si>
  <si>
    <t>E28324</t>
  </si>
  <si>
    <t>vin.junior@terra.com.br</t>
  </si>
  <si>
    <t>E40148</t>
  </si>
  <si>
    <t>sernan.lima@gmail.com</t>
  </si>
  <si>
    <t>E43000</t>
  </si>
  <si>
    <t>eduardo@ejtl.com.br</t>
  </si>
  <si>
    <t>E39234</t>
  </si>
  <si>
    <t>sergio@qualyfiltros.com.br</t>
  </si>
  <si>
    <t>Whats App</t>
  </si>
  <si>
    <t>Outro</t>
  </si>
  <si>
    <t>E34608</t>
  </si>
  <si>
    <t>m_ludovico@hotmail.com</t>
  </si>
  <si>
    <t>E97224</t>
  </si>
  <si>
    <t>dayvi@mizrahi.eu</t>
  </si>
  <si>
    <t>E40476</t>
  </si>
  <si>
    <t>plimiro@hotmail.com</t>
  </si>
  <si>
    <t>E66488</t>
  </si>
  <si>
    <t>sd-silva2010@uol.com.br</t>
  </si>
  <si>
    <t>E86116</t>
  </si>
  <si>
    <t>benedito.ballouk@hotmail.com</t>
  </si>
  <si>
    <t>E54298</t>
  </si>
  <si>
    <t>mballouk@uol.com.br</t>
  </si>
  <si>
    <t>E82350</t>
  </si>
  <si>
    <t>claudiomega11@gmail.com</t>
  </si>
  <si>
    <t>E4374</t>
  </si>
  <si>
    <t>claudiomega11@hotmail.com</t>
  </si>
  <si>
    <t>E72739</t>
  </si>
  <si>
    <t>luisfelipe@geotechconsultoria.com.br</t>
  </si>
  <si>
    <t>E52000</t>
  </si>
  <si>
    <t>marcio@steinbruch.com.br</t>
  </si>
  <si>
    <t>E29044</t>
  </si>
  <si>
    <t>clinica@steinbruch.com.br</t>
  </si>
  <si>
    <t>E42885</t>
  </si>
  <si>
    <t>gilimberto@yahoo.com.br</t>
  </si>
  <si>
    <t>E76656</t>
  </si>
  <si>
    <t>E44879</t>
  </si>
  <si>
    <t>teresinhajunqueira@ig.com.br</t>
  </si>
  <si>
    <t>E73135</t>
  </si>
  <si>
    <t>lfmokwa@gmail.com</t>
  </si>
  <si>
    <t>E13806</t>
  </si>
  <si>
    <t>renatojga@gmail.com</t>
  </si>
  <si>
    <t>E45447</t>
  </si>
  <si>
    <t>pugliesepericias@uol.com.br</t>
  </si>
  <si>
    <t>E49815</t>
  </si>
  <si>
    <t>aureo.bernardo@bernardoadvocacia.com.br</t>
  </si>
  <si>
    <t>E22080</t>
  </si>
  <si>
    <t>craveiro32@gmail.com</t>
  </si>
  <si>
    <t>E56972</t>
  </si>
  <si>
    <t>E43576</t>
  </si>
  <si>
    <t>odair@dianas.com.br</t>
  </si>
  <si>
    <t>E19484</t>
  </si>
  <si>
    <t>secr.universitaria@gmail.com</t>
  </si>
  <si>
    <t>E62382</t>
  </si>
  <si>
    <t>antoniocarlosgomes15@gmail.com</t>
  </si>
  <si>
    <t>E1786</t>
  </si>
  <si>
    <t>advricardo@uol.com.br</t>
  </si>
  <si>
    <t>E4867</t>
  </si>
  <si>
    <t>bento@bento.adv.br</t>
  </si>
  <si>
    <t>E48335</t>
  </si>
  <si>
    <t>wmradvoc@uol.com.br</t>
  </si>
  <si>
    <t>WAGNER RODRIGUES</t>
  </si>
  <si>
    <t>Facebook</t>
  </si>
  <si>
    <t>E52571</t>
  </si>
  <si>
    <t>eversonpsc@sinferp.org.br</t>
  </si>
  <si>
    <t>E42683</t>
  </si>
  <si>
    <t>assis.mentor@gmail.com</t>
  </si>
  <si>
    <t>E28502</t>
  </si>
  <si>
    <t>antoniocarlos@culturaemcenatv.com</t>
  </si>
  <si>
    <t>E55388</t>
  </si>
  <si>
    <t>dayvimizrahi@gmail.com</t>
  </si>
  <si>
    <t>E81359</t>
  </si>
  <si>
    <t>ballouk@ballouk.com.br</t>
  </si>
  <si>
    <t>E292</t>
  </si>
  <si>
    <t>francis.bassi@gosp.org.br</t>
  </si>
  <si>
    <t>E60307</t>
  </si>
  <si>
    <t>helioamandara@gmail.com</t>
  </si>
  <si>
    <t>E8357</t>
  </si>
  <si>
    <t>hermes.barbosa@barbosaadv.com.br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</si>
</sst>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  <font>
      <sz val="11"/>
      <color theme="1"/>
      <name val="Arial"/>
      <family val="2"/>
    </font>
    <font>
      <sz val="11"/>
      <color rgb="FF000000"/>
      <name val="Segoe UI"/>
      <family val="2"/>
    </font>
    <font>
      <b/>
      <sz val="8"/>
      <color rgb="FF707070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0E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 applyAlignment="1">
      <alignment wrapText="1"/>
    </xf>
    <xf numFmtId="0" fontId="0" fillId="0" borderId="1" xfId="0" applyBorder="1"/>
    <xf numFmtId="0" fontId="3" fillId="0" borderId="2" xfId="0" applyFont="1" applyBorder="1" applyAlignment="1">
      <alignment wrapText="1"/>
    </xf>
    <xf numFmtId="0" fontId="4" fillId="0" borderId="1" xfId="0" applyFont="1" applyBorder="1"/>
    <xf numFmtId="0" fontId="4" fillId="3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14" fontId="6" fillId="4" borderId="0" xfId="0" applyNumberFormat="1" applyFont="1" applyFill="1" applyAlignment="1">
      <alignment vertical="center" wrapText="1"/>
    </xf>
    <xf numFmtId="21" fontId="6" fillId="4" borderId="0" xfId="0" applyNumberFormat="1" applyFont="1" applyFill="1" applyAlignment="1">
      <alignment vertical="center" wrapText="1"/>
    </xf>
    <xf numFmtId="14" fontId="6" fillId="5" borderId="0" xfId="0" applyNumberFormat="1" applyFont="1" applyFill="1" applyAlignment="1">
      <alignment vertical="center" wrapText="1"/>
    </xf>
    <xf numFmtId="21" fontId="6" fillId="5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91DA-AF3E-4155-9BD0-A9C1B6258873}">
  <dimension ref="A1:D54"/>
  <sheetViews>
    <sheetView tabSelected="1" workbookViewId="0">
      <selection activeCell="G18" sqref="G18"/>
    </sheetView>
  </sheetViews>
  <sheetFormatPr defaultRowHeight="15" x14ac:dyDescent="0.25"/>
  <cols>
    <col min="1" max="1" width="29.28515625" customWidth="1"/>
  </cols>
  <sheetData>
    <row r="1" spans="1:3" x14ac:dyDescent="0.25">
      <c r="A1" s="2" t="s">
        <v>47</v>
      </c>
      <c r="B1" s="2" t="s">
        <v>48</v>
      </c>
    </row>
    <row r="2" spans="1:3" ht="16.5" x14ac:dyDescent="0.3">
      <c r="A2" s="10" t="s">
        <v>0</v>
      </c>
      <c r="B2" s="4">
        <v>204030</v>
      </c>
      <c r="C2" t="str">
        <f>VLOOKUP(B2,Planilha3!A:D,4,FALSE)</f>
        <v>renatojga@gmail.com</v>
      </c>
    </row>
    <row r="3" spans="1:3" ht="16.5" x14ac:dyDescent="0.3">
      <c r="A3" s="10" t="s">
        <v>1</v>
      </c>
      <c r="B3" s="4">
        <v>152408</v>
      </c>
      <c r="C3" t="str">
        <f>VLOOKUP(B3,Planilha3!A:D,4,FALSE)</f>
        <v>bento@bento.adv.br</v>
      </c>
    </row>
    <row r="4" spans="1:3" ht="15.75" x14ac:dyDescent="0.25">
      <c r="A4" s="11" t="s">
        <v>23</v>
      </c>
      <c r="B4" s="2"/>
      <c r="C4" t="e">
        <f>VLOOKUP(B4,Planilha3!A:D,4,FALSE)</f>
        <v>#N/A</v>
      </c>
    </row>
    <row r="5" spans="1:3" ht="15.75" x14ac:dyDescent="0.25">
      <c r="A5" s="11" t="s">
        <v>2</v>
      </c>
      <c r="B5" s="2"/>
      <c r="C5" t="e">
        <f>VLOOKUP(B5,Planilha3!A:D,4,FALSE)</f>
        <v>#N/A</v>
      </c>
    </row>
    <row r="6" spans="1:3" ht="15.75" x14ac:dyDescent="0.25">
      <c r="A6" s="11" t="s">
        <v>3</v>
      </c>
      <c r="B6" s="2"/>
      <c r="C6" t="e">
        <f>VLOOKUP(B6,Planilha3!A:D,4,FALSE)</f>
        <v>#N/A</v>
      </c>
    </row>
    <row r="7" spans="1:3" ht="15.75" x14ac:dyDescent="0.25">
      <c r="A7" s="11" t="s">
        <v>4</v>
      </c>
      <c r="B7" s="2"/>
      <c r="C7" t="e">
        <f>VLOOKUP(B7,Planilha3!A:D,4,FALSE)</f>
        <v>#N/A</v>
      </c>
    </row>
    <row r="8" spans="1:3" ht="15.75" x14ac:dyDescent="0.25">
      <c r="A8" s="11" t="s">
        <v>5</v>
      </c>
      <c r="B8" s="2"/>
      <c r="C8" t="e">
        <f>VLOOKUP(B8,Planilha3!A:D,4,FALSE)</f>
        <v>#N/A</v>
      </c>
    </row>
    <row r="9" spans="1:3" ht="15.75" x14ac:dyDescent="0.25">
      <c r="A9" s="11" t="s">
        <v>6</v>
      </c>
      <c r="B9" s="2"/>
      <c r="C9" t="e">
        <f>VLOOKUP(B9,Planilha3!A:D,4,FALSE)</f>
        <v>#N/A</v>
      </c>
    </row>
    <row r="10" spans="1:3" ht="15.75" x14ac:dyDescent="0.25">
      <c r="A10" s="11" t="s">
        <v>7</v>
      </c>
      <c r="B10" s="2"/>
      <c r="C10" t="e">
        <f>VLOOKUP(B10,Planilha3!A:D,4,FALSE)</f>
        <v>#N/A</v>
      </c>
    </row>
    <row r="11" spans="1:3" ht="15.75" x14ac:dyDescent="0.25">
      <c r="A11" s="11" t="s">
        <v>8</v>
      </c>
      <c r="B11" s="2"/>
      <c r="C11" t="e">
        <f>VLOOKUP(B11,Planilha3!A:D,4,FALSE)</f>
        <v>#N/A</v>
      </c>
    </row>
    <row r="12" spans="1:3" ht="15.75" x14ac:dyDescent="0.25">
      <c r="A12" s="11" t="s">
        <v>9</v>
      </c>
      <c r="B12" s="2"/>
      <c r="C12" t="e">
        <f>VLOOKUP(B12,Planilha3!A:D,4,FALSE)</f>
        <v>#N/A</v>
      </c>
    </row>
    <row r="13" spans="1:3" ht="15.75" x14ac:dyDescent="0.25">
      <c r="A13" s="11" t="s">
        <v>10</v>
      </c>
      <c r="B13" s="2"/>
      <c r="C13" t="e">
        <f>VLOOKUP(B13,Planilha3!A:D,4,FALSE)</f>
        <v>#N/A</v>
      </c>
    </row>
    <row r="14" spans="1:3" ht="15.75" x14ac:dyDescent="0.25">
      <c r="A14" s="12" t="s">
        <v>24</v>
      </c>
      <c r="B14" s="2"/>
      <c r="C14" t="e">
        <f>VLOOKUP(B14,Planilha3!A:D,4,FALSE)</f>
        <v>#N/A</v>
      </c>
    </row>
    <row r="15" spans="1:3" ht="32.25" x14ac:dyDescent="0.3">
      <c r="A15" s="12" t="s">
        <v>11</v>
      </c>
      <c r="B15" s="4">
        <v>167673</v>
      </c>
      <c r="C15" t="str">
        <f>VLOOKUP(B15,Planilha3!A:D,4,FALSE)</f>
        <v>assis.mentor@gmail.com</v>
      </c>
    </row>
    <row r="16" spans="1:3" ht="16.5" x14ac:dyDescent="0.3">
      <c r="A16" s="12" t="s">
        <v>12</v>
      </c>
      <c r="B16" s="4">
        <v>227314</v>
      </c>
      <c r="C16" t="str">
        <f>VLOOKUP(B16,Planilha3!A:D,4,FALSE)</f>
        <v>craveiro32@gmail.com</v>
      </c>
    </row>
    <row r="17" spans="1:4" ht="16.5" x14ac:dyDescent="0.3">
      <c r="A17" s="12" t="s">
        <v>13</v>
      </c>
      <c r="B17" s="4">
        <v>192068</v>
      </c>
      <c r="C17" t="str">
        <f>VLOOKUP(B17,Planilha3!A:D,4,FALSE)</f>
        <v>lfmokwa@gmail.com</v>
      </c>
    </row>
    <row r="18" spans="1:4" ht="16.5" x14ac:dyDescent="0.3">
      <c r="A18" s="12" t="s">
        <v>14</v>
      </c>
      <c r="B18" s="4">
        <v>213411</v>
      </c>
      <c r="C18" t="str">
        <f>VLOOKUP(B18,Planilha3!A:D,4,FALSE)</f>
        <v>wmradvoc@uol.com.br</v>
      </c>
    </row>
    <row r="19" spans="1:4" ht="15.75" x14ac:dyDescent="0.25">
      <c r="A19" s="12" t="s">
        <v>15</v>
      </c>
      <c r="B19" s="2"/>
      <c r="C19" t="e">
        <f>VLOOKUP(B19,Planilha3!A:D,4,FALSE)</f>
        <v>#N/A</v>
      </c>
    </row>
    <row r="20" spans="1:4" ht="16.5" x14ac:dyDescent="0.25">
      <c r="A20" s="12" t="s">
        <v>16</v>
      </c>
      <c r="B20" s="5">
        <v>172785</v>
      </c>
      <c r="C20" t="str">
        <f>VLOOKUP(B20,Planilha3!A:D,4,FALSE)</f>
        <v>n.frare@uol.com.br</v>
      </c>
    </row>
    <row r="21" spans="1:4" ht="16.5" x14ac:dyDescent="0.25">
      <c r="A21" s="12" t="s">
        <v>17</v>
      </c>
      <c r="B21" s="5">
        <v>198895</v>
      </c>
      <c r="C21" t="str">
        <f>VLOOKUP(B21,Planilha3!A:D,4,FALSE)</f>
        <v>vin.junior@terra.com.br</v>
      </c>
    </row>
    <row r="22" spans="1:4" ht="16.5" x14ac:dyDescent="0.3">
      <c r="A22" s="12" t="s">
        <v>49</v>
      </c>
      <c r="B22" s="4">
        <v>209075</v>
      </c>
      <c r="C22" t="str">
        <f>VLOOKUP(B22,Planilha3!A:D,4,FALSE)</f>
        <v>gilimberto@yahoo.com.br</v>
      </c>
    </row>
    <row r="23" spans="1:4" ht="16.5" x14ac:dyDescent="0.25">
      <c r="A23" s="12" t="s">
        <v>18</v>
      </c>
      <c r="B23" s="5">
        <v>246820</v>
      </c>
      <c r="C23" t="str">
        <f>VLOOKUP(B23,Planilha3!A:D,4,FALSE)</f>
        <v>eduardo@ejtl.com.br</v>
      </c>
    </row>
    <row r="24" spans="1:4" ht="32.25" x14ac:dyDescent="0.3">
      <c r="A24" s="12" t="s">
        <v>25</v>
      </c>
      <c r="B24" s="4">
        <v>134406</v>
      </c>
      <c r="C24" t="str">
        <f>VLOOKUP(B24,Planilha3!A:D,4,FALSE)</f>
        <v>benedito.ballouk@hotmail.com</v>
      </c>
    </row>
    <row r="25" spans="1:4" ht="32.25" customHeight="1" x14ac:dyDescent="0.3">
      <c r="A25" s="12" t="s">
        <v>19</v>
      </c>
      <c r="B25" s="4">
        <v>128589</v>
      </c>
      <c r="C25" t="str">
        <f>VLOOKUP(B25,Planilha3!A:D,4,FALSE)</f>
        <v>hermes.barbosa@barbosaadv.com.br</v>
      </c>
    </row>
    <row r="26" spans="1:4" ht="32.25" x14ac:dyDescent="0.3">
      <c r="A26" s="12" t="s">
        <v>20</v>
      </c>
      <c r="B26" s="4">
        <v>172763</v>
      </c>
      <c r="C26" t="str">
        <f>VLOOKUP(B26,Planilha3!A:D,4,FALSE)</f>
        <v>pugliesepericias@uol.com.br</v>
      </c>
    </row>
    <row r="27" spans="1:4" ht="16.5" x14ac:dyDescent="0.3">
      <c r="A27" s="12" t="s">
        <v>21</v>
      </c>
      <c r="B27" s="4">
        <v>249831</v>
      </c>
      <c r="C27" t="str">
        <f>VLOOKUP(B27,Planilha3!A:D,4,FALSE)</f>
        <v>aureo.bernardo@bernardoadvocacia.com.br</v>
      </c>
    </row>
    <row r="28" spans="1:4" ht="16.5" x14ac:dyDescent="0.3">
      <c r="A28" s="12" t="s">
        <v>22</v>
      </c>
      <c r="B28" s="4">
        <v>158570</v>
      </c>
      <c r="C28" t="str">
        <f>VLOOKUP(B28,Planilha3!A:D,4,FALSE)</f>
        <v>mauro.tippi@gmail.com</v>
      </c>
    </row>
    <row r="29" spans="1:4" x14ac:dyDescent="0.25">
      <c r="B29" s="2"/>
      <c r="C29" t="e">
        <f>VLOOKUP(B29,Planilha3!A:D,4,FALSE)</f>
        <v>#N/A</v>
      </c>
    </row>
    <row r="30" spans="1:4" x14ac:dyDescent="0.25">
      <c r="A30" s="6"/>
      <c r="B30" s="2"/>
      <c r="C30" t="e">
        <f>VLOOKUP(B30,Planilha3!A:D,4,FALSE)</f>
        <v>#N/A</v>
      </c>
    </row>
    <row r="31" spans="1:4" ht="15.75" x14ac:dyDescent="0.25">
      <c r="A31" s="12" t="s">
        <v>26</v>
      </c>
      <c r="B31" s="2"/>
      <c r="C31" t="e">
        <f>VLOOKUP(B31,Planilha3!A:D,4,FALSE)</f>
        <v>#N/A</v>
      </c>
    </row>
    <row r="32" spans="1:4" ht="30" customHeight="1" x14ac:dyDescent="0.3">
      <c r="A32" s="7" t="s">
        <v>35</v>
      </c>
      <c r="B32" s="4">
        <v>183958</v>
      </c>
      <c r="C32" t="str">
        <f>VLOOKUP(B32,Planilha3!A:D,4,FALSE)</f>
        <v>secr.universitaria@gmail.com</v>
      </c>
      <c r="D32" s="8"/>
    </row>
    <row r="33" spans="1:4" ht="30" customHeight="1" x14ac:dyDescent="0.3">
      <c r="A33" s="7" t="s">
        <v>36</v>
      </c>
      <c r="B33" s="4">
        <v>226212</v>
      </c>
      <c r="C33" t="str">
        <f>VLOOKUP(B33,Planilha3!A:D,4,FALSE)</f>
        <v>plimiro@hotmail.com</v>
      </c>
      <c r="D33" s="8"/>
    </row>
    <row r="34" spans="1:4" ht="16.5" x14ac:dyDescent="0.3">
      <c r="A34" s="7" t="s">
        <v>37</v>
      </c>
      <c r="B34" s="4">
        <v>233406</v>
      </c>
      <c r="C34" t="str">
        <f>VLOOKUP(B34,Planilha3!A:D,4,FALSE)</f>
        <v>francis@acovisa.com.br</v>
      </c>
      <c r="D34" s="9"/>
    </row>
    <row r="35" spans="1:4" ht="16.5" x14ac:dyDescent="0.3">
      <c r="A35" s="7" t="s">
        <v>38</v>
      </c>
      <c r="B35" s="4">
        <v>263830</v>
      </c>
      <c r="C35" t="e">
        <f>VLOOKUP(B35,Planilha3!A:D,4,FALSE)</f>
        <v>#N/A</v>
      </c>
      <c r="D35" s="8"/>
    </row>
    <row r="36" spans="1:4" ht="30" customHeight="1" x14ac:dyDescent="0.3">
      <c r="A36" s="7" t="s">
        <v>39</v>
      </c>
      <c r="B36" s="4">
        <v>188483</v>
      </c>
      <c r="C36" t="str">
        <f>VLOOKUP(B36,Planilha3!A:D,4,FALSE)</f>
        <v>omar.zacharias@gosp.org.br</v>
      </c>
      <c r="D36" s="8"/>
    </row>
    <row r="37" spans="1:4" ht="16.5" x14ac:dyDescent="0.3">
      <c r="A37" s="7" t="s">
        <v>50</v>
      </c>
      <c r="B37" s="4">
        <v>233926</v>
      </c>
      <c r="C37" t="str">
        <f>VLOOKUP(B37,Planilha3!A:D,4,FALSE)</f>
        <v>helioamandara@gmail.com</v>
      </c>
      <c r="D37" s="8"/>
    </row>
    <row r="38" spans="1:4" ht="16.5" x14ac:dyDescent="0.3">
      <c r="A38" s="7" t="s">
        <v>40</v>
      </c>
      <c r="B38" s="4">
        <v>306378</v>
      </c>
      <c r="C38" t="e">
        <f>VLOOKUP(B38,Planilha3!A:D,4,FALSE)</f>
        <v>#N/A</v>
      </c>
      <c r="D38" s="8"/>
    </row>
    <row r="39" spans="1:4" ht="16.5" x14ac:dyDescent="0.3">
      <c r="A39" s="7" t="s">
        <v>41</v>
      </c>
      <c r="B39" s="4">
        <v>291266</v>
      </c>
      <c r="C39" t="str">
        <f>VLOOKUP(B39,Planilha3!A:D,4,FALSE)</f>
        <v>sernan.lima@gmail.com</v>
      </c>
      <c r="D39" s="8"/>
    </row>
    <row r="40" spans="1:4" ht="16.5" x14ac:dyDescent="0.3">
      <c r="A40" s="7" t="s">
        <v>42</v>
      </c>
      <c r="B40" s="4">
        <v>500530</v>
      </c>
      <c r="C40" t="e">
        <f>VLOOKUP(B40,Planilha3!A:D,4,FALSE)</f>
        <v>#N/A</v>
      </c>
      <c r="D40" s="8"/>
    </row>
    <row r="41" spans="1:4" ht="45" customHeight="1" x14ac:dyDescent="0.3">
      <c r="A41" s="7" t="s">
        <v>43</v>
      </c>
      <c r="B41" s="4">
        <v>517799</v>
      </c>
      <c r="C41" t="e">
        <f>VLOOKUP(B41,Planilha3!A:D,4,FALSE)</f>
        <v>#N/A</v>
      </c>
      <c r="D41" s="8"/>
    </row>
    <row r="42" spans="1:4" ht="16.5" x14ac:dyDescent="0.25">
      <c r="A42" s="7" t="s">
        <v>27</v>
      </c>
      <c r="B42" s="5">
        <v>517799</v>
      </c>
      <c r="C42" t="e">
        <f>VLOOKUP(B42,Planilha3!A:D,4,FALSE)</f>
        <v>#N/A</v>
      </c>
      <c r="D42" s="8"/>
    </row>
    <row r="43" spans="1:4" ht="16.5" x14ac:dyDescent="0.25">
      <c r="A43" s="7" t="s">
        <v>28</v>
      </c>
      <c r="B43" s="5">
        <v>518659</v>
      </c>
      <c r="C43" t="e">
        <f>VLOOKUP(B43,Planilha3!A:D,4,FALSE)</f>
        <v>#N/A</v>
      </c>
      <c r="D43" s="8"/>
    </row>
    <row r="44" spans="1:4" ht="30" customHeight="1" x14ac:dyDescent="0.3">
      <c r="A44" s="7" t="s">
        <v>44</v>
      </c>
      <c r="B44" s="4">
        <v>516840</v>
      </c>
      <c r="C44" t="e">
        <f>VLOOKUP(B44,Planilha3!A:D,4,FALSE)</f>
        <v>#N/A</v>
      </c>
      <c r="D44" s="8"/>
    </row>
    <row r="45" spans="1:4" ht="30" customHeight="1" x14ac:dyDescent="0.3">
      <c r="A45" s="7" t="s">
        <v>51</v>
      </c>
      <c r="B45" s="4">
        <v>220316</v>
      </c>
      <c r="C45" t="str">
        <f>VLOOKUP(B45,Planilha3!A:D,4,FALSE)</f>
        <v>luisfelipe@geotechconsultoria.com.br</v>
      </c>
      <c r="D45" s="8"/>
    </row>
    <row r="46" spans="1:4" ht="30" customHeight="1" x14ac:dyDescent="0.25">
      <c r="A46" s="7" t="s">
        <v>29</v>
      </c>
      <c r="B46" s="5">
        <v>233930</v>
      </c>
      <c r="C46" t="str">
        <f>VLOOKUP(B46,Planilha3!A:D,4,FALSE)</f>
        <v>odair@dianas.com.br</v>
      </c>
      <c r="D46" s="8"/>
    </row>
    <row r="47" spans="1:4" ht="16.5" x14ac:dyDescent="0.3">
      <c r="A47" s="7" t="s">
        <v>30</v>
      </c>
      <c r="B47" s="4">
        <v>183315</v>
      </c>
      <c r="C47" t="str">
        <f>VLOOKUP(B47,Planilha3!A:D,4,FALSE)</f>
        <v>sergio@qualyfiltros.com.br</v>
      </c>
      <c r="D47" s="8"/>
    </row>
    <row r="48" spans="1:4" ht="16.5" x14ac:dyDescent="0.3">
      <c r="A48" s="7" t="s">
        <v>45</v>
      </c>
      <c r="B48" s="4">
        <v>216618</v>
      </c>
      <c r="C48" t="str">
        <f>VLOOKUP(B48,Planilha3!A:D,4,FALSE)</f>
        <v>dayvi@mizrahi.eu</v>
      </c>
      <c r="D48" s="8"/>
    </row>
    <row r="49" spans="1:4" ht="16.5" x14ac:dyDescent="0.3">
      <c r="A49" s="7" t="s">
        <v>31</v>
      </c>
      <c r="B49" s="4">
        <v>521477</v>
      </c>
      <c r="C49" t="e">
        <f>VLOOKUP(B49,Planilha3!A:D,4,FALSE)</f>
        <v>#N/A</v>
      </c>
      <c r="D49" s="8"/>
    </row>
    <row r="50" spans="1:4" ht="30" customHeight="1" x14ac:dyDescent="0.25">
      <c r="A50" s="7" t="s">
        <v>32</v>
      </c>
      <c r="B50" s="5">
        <v>277632</v>
      </c>
      <c r="C50" t="str">
        <f>VLOOKUP(B50,Planilha3!A:D,4,FALSE)</f>
        <v>marcio@steinbruch.com.br</v>
      </c>
      <c r="D50" s="8"/>
    </row>
    <row r="51" spans="1:4" ht="16.5" x14ac:dyDescent="0.25">
      <c r="A51" s="7" t="s">
        <v>33</v>
      </c>
      <c r="B51" s="5">
        <v>263976</v>
      </c>
      <c r="C51" t="str">
        <f>VLOOKUP(B51,Planilha3!A:D,4,FALSE)</f>
        <v>sd-silva2010@uol.com.br</v>
      </c>
      <c r="D51" s="8"/>
    </row>
    <row r="52" spans="1:4" ht="16.5" x14ac:dyDescent="0.3">
      <c r="A52" s="13" t="s">
        <v>34</v>
      </c>
      <c r="B52" s="4">
        <v>277934</v>
      </c>
      <c r="C52" t="str">
        <f>VLOOKUP(B52,Planilha3!A:D,4,FALSE)</f>
        <v>claudiomega11@gmail.com</v>
      </c>
      <c r="D52" s="8"/>
    </row>
    <row r="53" spans="1:4" ht="16.5" x14ac:dyDescent="0.3">
      <c r="A53" s="13" t="s">
        <v>46</v>
      </c>
      <c r="B53" s="4">
        <v>187071</v>
      </c>
      <c r="C53" t="str">
        <f>VLOOKUP(B53,Planilha3!A:D,4,FALSE)</f>
        <v>m_ludovico@hotmail.com</v>
      </c>
      <c r="D53" s="8"/>
    </row>
    <row r="54" spans="1:4" ht="15.75" thickBot="1" x14ac:dyDescent="0.3">
      <c r="A54" s="3"/>
      <c r="B54" s="1"/>
      <c r="C54" s="8"/>
      <c r="D54" s="8"/>
    </row>
  </sheetData>
  <autoFilter ref="A1:B53" xr:uid="{AE9091DA-AF3E-4155-9BD0-A9C1B625887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BA23-2C7C-4165-B650-568DCC894D56}">
  <dimension ref="A1:J46"/>
  <sheetViews>
    <sheetView workbookViewId="0">
      <selection sqref="A1:XFD1048576"/>
    </sheetView>
  </sheetViews>
  <sheetFormatPr defaultRowHeight="15" x14ac:dyDescent="0.25"/>
  <sheetData>
    <row r="1" spans="1:10" ht="22.5" x14ac:dyDescent="0.25">
      <c r="A1" s="14" t="s">
        <v>52</v>
      </c>
      <c r="B1" s="14" t="s">
        <v>53</v>
      </c>
      <c r="C1" s="14" t="s">
        <v>54</v>
      </c>
      <c r="D1" s="14" t="s">
        <v>55</v>
      </c>
      <c r="E1" s="14" t="s">
        <v>56</v>
      </c>
      <c r="F1" s="14" t="s">
        <v>57</v>
      </c>
      <c r="G1" s="14" t="s">
        <v>58</v>
      </c>
      <c r="H1" s="14" t="s">
        <v>59</v>
      </c>
      <c r="I1" s="14" t="s">
        <v>60</v>
      </c>
      <c r="J1" s="14" t="s">
        <v>61</v>
      </c>
    </row>
    <row r="2" spans="1:10" ht="33.75" x14ac:dyDescent="0.25">
      <c r="A2" s="15">
        <v>233406</v>
      </c>
      <c r="B2" s="15">
        <v>41</v>
      </c>
      <c r="C2" s="15" t="s">
        <v>62</v>
      </c>
      <c r="D2" s="15" t="s">
        <v>63</v>
      </c>
      <c r="E2" s="15"/>
      <c r="F2" s="15"/>
      <c r="G2" s="15">
        <v>3</v>
      </c>
      <c r="H2" s="15"/>
      <c r="I2" s="15" t="s">
        <v>64</v>
      </c>
      <c r="J2" s="15" t="s">
        <v>65</v>
      </c>
    </row>
    <row r="3" spans="1:10" ht="33.75" x14ac:dyDescent="0.25">
      <c r="A3" s="16">
        <v>158570</v>
      </c>
      <c r="B3" s="16">
        <v>63</v>
      </c>
      <c r="C3" s="16" t="s">
        <v>66</v>
      </c>
      <c r="D3" s="16" t="s">
        <v>67</v>
      </c>
      <c r="E3" s="16"/>
      <c r="F3" s="16"/>
      <c r="G3" s="16">
        <v>50</v>
      </c>
      <c r="H3" s="16"/>
      <c r="I3" s="16" t="s">
        <v>64</v>
      </c>
      <c r="J3" s="16" t="s">
        <v>65</v>
      </c>
    </row>
    <row r="4" spans="1:10" ht="22.5" x14ac:dyDescent="0.25">
      <c r="A4" s="15">
        <v>158570</v>
      </c>
      <c r="B4" s="15">
        <v>66</v>
      </c>
      <c r="C4" s="15" t="s">
        <v>68</v>
      </c>
      <c r="D4" s="15" t="s">
        <v>69</v>
      </c>
      <c r="E4" s="15"/>
      <c r="F4" s="15"/>
      <c r="G4" s="15">
        <v>50</v>
      </c>
      <c r="H4" s="15"/>
      <c r="I4" s="15" t="s">
        <v>70</v>
      </c>
      <c r="J4" s="15" t="s">
        <v>65</v>
      </c>
    </row>
    <row r="5" spans="1:10" ht="22.5" x14ac:dyDescent="0.25">
      <c r="A5" s="16">
        <v>172785</v>
      </c>
      <c r="B5" s="16">
        <v>169</v>
      </c>
      <c r="C5" s="16" t="s">
        <v>71</v>
      </c>
      <c r="D5" s="16" t="s">
        <v>72</v>
      </c>
      <c r="E5" s="17">
        <v>42231</v>
      </c>
      <c r="F5" s="18">
        <v>0.67592592592592593</v>
      </c>
      <c r="G5" s="16">
        <v>122</v>
      </c>
      <c r="H5" s="16"/>
      <c r="I5" s="16" t="s">
        <v>64</v>
      </c>
      <c r="J5" s="16" t="s">
        <v>65</v>
      </c>
    </row>
    <row r="6" spans="1:10" ht="33.75" x14ac:dyDescent="0.25">
      <c r="A6" s="15">
        <v>188483</v>
      </c>
      <c r="B6" s="15">
        <v>252</v>
      </c>
      <c r="C6" s="15" t="s">
        <v>73</v>
      </c>
      <c r="D6" s="15" t="s">
        <v>74</v>
      </c>
      <c r="E6" s="19">
        <v>42234</v>
      </c>
      <c r="F6" s="20">
        <v>0.4914236111111111</v>
      </c>
      <c r="G6" s="15">
        <v>18</v>
      </c>
      <c r="H6" s="15"/>
      <c r="I6" s="15" t="s">
        <v>64</v>
      </c>
      <c r="J6" s="15" t="s">
        <v>65</v>
      </c>
    </row>
    <row r="7" spans="1:10" ht="22.5" x14ac:dyDescent="0.25">
      <c r="A7" s="16">
        <v>198895</v>
      </c>
      <c r="B7" s="16">
        <v>541</v>
      </c>
      <c r="C7" s="16" t="s">
        <v>75</v>
      </c>
      <c r="D7" s="16" t="s">
        <v>76</v>
      </c>
      <c r="E7" s="17">
        <v>42238</v>
      </c>
      <c r="F7" s="18">
        <v>0.77318287037037037</v>
      </c>
      <c r="G7" s="16">
        <v>46715</v>
      </c>
      <c r="H7" s="16"/>
      <c r="I7" s="16" t="s">
        <v>64</v>
      </c>
      <c r="J7" s="16" t="s">
        <v>65</v>
      </c>
    </row>
    <row r="8" spans="1:10" ht="33.75" x14ac:dyDescent="0.25">
      <c r="A8" s="15">
        <v>291266</v>
      </c>
      <c r="B8" s="15">
        <v>671</v>
      </c>
      <c r="C8" s="15" t="s">
        <v>77</v>
      </c>
      <c r="D8" s="15" t="s">
        <v>78</v>
      </c>
      <c r="E8" s="19">
        <v>42239</v>
      </c>
      <c r="F8" s="20">
        <v>0.58758101851851852</v>
      </c>
      <c r="G8" s="15">
        <v>12214</v>
      </c>
      <c r="H8" s="15"/>
      <c r="I8" s="15" t="s">
        <v>64</v>
      </c>
      <c r="J8" s="15" t="s">
        <v>65</v>
      </c>
    </row>
    <row r="9" spans="1:10" ht="22.5" x14ac:dyDescent="0.25">
      <c r="A9" s="16">
        <v>246820</v>
      </c>
      <c r="B9" s="16">
        <v>781</v>
      </c>
      <c r="C9" s="16" t="s">
        <v>79</v>
      </c>
      <c r="D9" s="16" t="s">
        <v>80</v>
      </c>
      <c r="E9" s="17">
        <v>42240</v>
      </c>
      <c r="F9" s="18">
        <v>0.39723379629629629</v>
      </c>
      <c r="G9" s="16">
        <v>8677</v>
      </c>
      <c r="H9" s="16"/>
      <c r="I9" s="16" t="s">
        <v>64</v>
      </c>
      <c r="J9" s="16" t="s">
        <v>65</v>
      </c>
    </row>
    <row r="10" spans="1:10" ht="33.75" x14ac:dyDescent="0.25">
      <c r="A10" s="15">
        <v>183315</v>
      </c>
      <c r="B10" s="15">
        <v>1081</v>
      </c>
      <c r="C10" s="15" t="s">
        <v>81</v>
      </c>
      <c r="D10" s="15" t="s">
        <v>82</v>
      </c>
      <c r="E10" s="19">
        <v>42243</v>
      </c>
      <c r="F10" s="20">
        <v>0.8718055555555555</v>
      </c>
      <c r="G10" s="15">
        <v>90</v>
      </c>
      <c r="H10" s="15"/>
      <c r="I10" s="15" t="s">
        <v>64</v>
      </c>
      <c r="J10" s="15" t="s">
        <v>65</v>
      </c>
    </row>
    <row r="11" spans="1:10" x14ac:dyDescent="0.25">
      <c r="A11" s="16">
        <v>183315</v>
      </c>
      <c r="B11" s="16">
        <v>1082</v>
      </c>
      <c r="C11" s="16"/>
      <c r="D11" s="16" t="s">
        <v>83</v>
      </c>
      <c r="E11" s="17">
        <v>42243</v>
      </c>
      <c r="F11" s="18">
        <v>0.87508101851851849</v>
      </c>
      <c r="G11" s="16">
        <v>90</v>
      </c>
      <c r="H11" s="16"/>
      <c r="I11" s="16" t="s">
        <v>70</v>
      </c>
      <c r="J11" s="16" t="s">
        <v>84</v>
      </c>
    </row>
    <row r="12" spans="1:10" ht="33.75" x14ac:dyDescent="0.25">
      <c r="A12" s="15">
        <v>187071</v>
      </c>
      <c r="B12" s="15">
        <v>1292</v>
      </c>
      <c r="C12" s="15" t="s">
        <v>85</v>
      </c>
      <c r="D12" s="15" t="s">
        <v>86</v>
      </c>
      <c r="E12" s="19">
        <v>42246</v>
      </c>
      <c r="F12" s="20">
        <v>0.59245370370370365</v>
      </c>
      <c r="G12" s="15">
        <v>43</v>
      </c>
      <c r="H12" s="15"/>
      <c r="I12" s="15" t="s">
        <v>64</v>
      </c>
      <c r="J12" s="15" t="s">
        <v>65</v>
      </c>
    </row>
    <row r="13" spans="1:10" ht="22.5" x14ac:dyDescent="0.25">
      <c r="A13" s="16">
        <v>216618</v>
      </c>
      <c r="B13" s="16">
        <v>1374</v>
      </c>
      <c r="C13" s="16" t="s">
        <v>87</v>
      </c>
      <c r="D13" s="16" t="s">
        <v>88</v>
      </c>
      <c r="E13" s="17">
        <v>42247</v>
      </c>
      <c r="F13" s="18">
        <v>0.50177083333333339</v>
      </c>
      <c r="G13" s="16">
        <v>23930</v>
      </c>
      <c r="H13" s="16"/>
      <c r="I13" s="16" t="s">
        <v>64</v>
      </c>
      <c r="J13" s="16" t="s">
        <v>65</v>
      </c>
    </row>
    <row r="14" spans="1:10" ht="22.5" x14ac:dyDescent="0.25">
      <c r="A14" s="15">
        <v>226212</v>
      </c>
      <c r="B14" s="15">
        <v>2498</v>
      </c>
      <c r="C14" s="15" t="s">
        <v>89</v>
      </c>
      <c r="D14" s="15" t="s">
        <v>90</v>
      </c>
      <c r="E14" s="19">
        <v>42251</v>
      </c>
      <c r="F14" s="20">
        <v>0.64543981481481483</v>
      </c>
      <c r="G14" s="15">
        <v>22878</v>
      </c>
      <c r="H14" s="15"/>
      <c r="I14" s="15" t="s">
        <v>64</v>
      </c>
      <c r="J14" s="15" t="s">
        <v>65</v>
      </c>
    </row>
    <row r="15" spans="1:10" ht="33.75" x14ac:dyDescent="0.25">
      <c r="A15" s="16">
        <v>263976</v>
      </c>
      <c r="B15" s="16">
        <v>2586</v>
      </c>
      <c r="C15" s="16" t="s">
        <v>91</v>
      </c>
      <c r="D15" s="16" t="s">
        <v>92</v>
      </c>
      <c r="E15" s="17">
        <v>42251</v>
      </c>
      <c r="F15" s="18">
        <v>0.90809027777777773</v>
      </c>
      <c r="G15" s="16">
        <v>18127</v>
      </c>
      <c r="H15" s="16"/>
      <c r="I15" s="16" t="s">
        <v>64</v>
      </c>
      <c r="J15" s="16" t="s">
        <v>65</v>
      </c>
    </row>
    <row r="16" spans="1:10" ht="33.75" x14ac:dyDescent="0.25">
      <c r="A16" s="15">
        <v>134406</v>
      </c>
      <c r="B16" s="15">
        <v>3130</v>
      </c>
      <c r="C16" s="15" t="s">
        <v>93</v>
      </c>
      <c r="D16" s="15" t="s">
        <v>94</v>
      </c>
      <c r="E16" s="19">
        <v>42255</v>
      </c>
      <c r="F16" s="20">
        <v>0.48576388888888888</v>
      </c>
      <c r="G16" s="15">
        <v>2</v>
      </c>
      <c r="H16" s="15"/>
      <c r="I16" s="15" t="s">
        <v>70</v>
      </c>
      <c r="J16" s="15" t="s">
        <v>65</v>
      </c>
    </row>
    <row r="17" spans="1:10" ht="22.5" x14ac:dyDescent="0.25">
      <c r="A17" s="16">
        <v>134406</v>
      </c>
      <c r="B17" s="16">
        <v>3357</v>
      </c>
      <c r="C17" s="16" t="s">
        <v>95</v>
      </c>
      <c r="D17" s="16" t="s">
        <v>96</v>
      </c>
      <c r="E17" s="17">
        <v>42256</v>
      </c>
      <c r="F17" s="18">
        <v>4.1365740740740738E-2</v>
      </c>
      <c r="G17" s="16">
        <v>2</v>
      </c>
      <c r="H17" s="16"/>
      <c r="I17" s="16" t="s">
        <v>64</v>
      </c>
      <c r="J17" s="16" t="s">
        <v>65</v>
      </c>
    </row>
    <row r="18" spans="1:10" ht="33.75" x14ac:dyDescent="0.25">
      <c r="A18" s="15">
        <v>277934</v>
      </c>
      <c r="B18" s="15">
        <v>3957</v>
      </c>
      <c r="C18" s="15" t="s">
        <v>97</v>
      </c>
      <c r="D18" s="15" t="s">
        <v>98</v>
      </c>
      <c r="E18" s="19">
        <v>42257</v>
      </c>
      <c r="F18" s="20">
        <v>0.77364583333333337</v>
      </c>
      <c r="G18" s="15">
        <v>45</v>
      </c>
      <c r="H18" s="15"/>
      <c r="I18" s="15" t="s">
        <v>64</v>
      </c>
      <c r="J18" s="15" t="s">
        <v>65</v>
      </c>
    </row>
    <row r="19" spans="1:10" ht="33.75" x14ac:dyDescent="0.25">
      <c r="A19" s="16">
        <v>277934</v>
      </c>
      <c r="B19" s="16">
        <v>4142</v>
      </c>
      <c r="C19" s="16" t="s">
        <v>99</v>
      </c>
      <c r="D19" s="16" t="s">
        <v>100</v>
      </c>
      <c r="E19" s="17">
        <v>42258</v>
      </c>
      <c r="F19" s="18">
        <v>0.51185185185185189</v>
      </c>
      <c r="G19" s="16">
        <v>45</v>
      </c>
      <c r="H19" s="16"/>
      <c r="I19" s="16" t="s">
        <v>64</v>
      </c>
      <c r="J19" s="16" t="s">
        <v>65</v>
      </c>
    </row>
    <row r="20" spans="1:10" ht="45" x14ac:dyDescent="0.25">
      <c r="A20" s="15">
        <v>220316</v>
      </c>
      <c r="B20" s="15">
        <v>5335</v>
      </c>
      <c r="C20" s="15" t="s">
        <v>101</v>
      </c>
      <c r="D20" s="15" t="s">
        <v>102</v>
      </c>
      <c r="E20" s="19">
        <v>42263</v>
      </c>
      <c r="F20" s="20">
        <v>0.47850694444444447</v>
      </c>
      <c r="G20" s="15">
        <v>23555</v>
      </c>
      <c r="H20" s="15"/>
      <c r="I20" s="15" t="s">
        <v>64</v>
      </c>
      <c r="J20" s="15" t="s">
        <v>65</v>
      </c>
    </row>
    <row r="21" spans="1:10" ht="33.75" x14ac:dyDescent="0.25">
      <c r="A21" s="16">
        <v>277632</v>
      </c>
      <c r="B21" s="16">
        <v>6146</v>
      </c>
      <c r="C21" s="16" t="s">
        <v>103</v>
      </c>
      <c r="D21" s="16" t="s">
        <v>104</v>
      </c>
      <c r="E21" s="17">
        <v>42264</v>
      </c>
      <c r="F21" s="18">
        <v>0.77767361111111111</v>
      </c>
      <c r="G21" s="16">
        <v>17562</v>
      </c>
      <c r="H21" s="16"/>
      <c r="I21" s="16" t="s">
        <v>64</v>
      </c>
      <c r="J21" s="16" t="s">
        <v>65</v>
      </c>
    </row>
    <row r="22" spans="1:10" ht="33.75" x14ac:dyDescent="0.25">
      <c r="A22" s="15">
        <v>277632</v>
      </c>
      <c r="B22" s="15">
        <v>6158</v>
      </c>
      <c r="C22" s="15" t="s">
        <v>105</v>
      </c>
      <c r="D22" s="15" t="s">
        <v>106</v>
      </c>
      <c r="E22" s="19">
        <v>42264</v>
      </c>
      <c r="F22" s="20">
        <v>0.7882986111111111</v>
      </c>
      <c r="G22" s="15">
        <v>17562</v>
      </c>
      <c r="H22" s="15"/>
      <c r="I22" s="15" t="s">
        <v>64</v>
      </c>
      <c r="J22" s="15" t="s">
        <v>65</v>
      </c>
    </row>
    <row r="23" spans="1:10" ht="33.75" x14ac:dyDescent="0.25">
      <c r="A23" s="16">
        <v>209075</v>
      </c>
      <c r="B23" s="16">
        <v>6308</v>
      </c>
      <c r="C23" s="16" t="s">
        <v>107</v>
      </c>
      <c r="D23" s="16" t="s">
        <v>108</v>
      </c>
      <c r="E23" s="17">
        <v>42265</v>
      </c>
      <c r="F23" s="18">
        <v>6.1863425925925926E-2</v>
      </c>
      <c r="G23" s="16">
        <v>17425</v>
      </c>
      <c r="H23" s="16"/>
      <c r="I23" s="16" t="s">
        <v>70</v>
      </c>
      <c r="J23" s="16" t="s">
        <v>65</v>
      </c>
    </row>
    <row r="24" spans="1:10" ht="33.75" x14ac:dyDescent="0.25">
      <c r="A24" s="15">
        <v>209075</v>
      </c>
      <c r="B24" s="15">
        <v>6309</v>
      </c>
      <c r="C24" s="15" t="s">
        <v>109</v>
      </c>
      <c r="D24" s="15" t="s">
        <v>108</v>
      </c>
      <c r="E24" s="19">
        <v>42265</v>
      </c>
      <c r="F24" s="20">
        <v>7.1724537037037031E-2</v>
      </c>
      <c r="G24" s="15">
        <v>17425</v>
      </c>
      <c r="H24" s="15"/>
      <c r="I24" s="15" t="s">
        <v>70</v>
      </c>
      <c r="J24" s="15" t="s">
        <v>65</v>
      </c>
    </row>
    <row r="25" spans="1:10" ht="33.75" x14ac:dyDescent="0.25">
      <c r="A25" s="16">
        <v>209075</v>
      </c>
      <c r="B25" s="16">
        <v>6541</v>
      </c>
      <c r="C25" s="16" t="s">
        <v>110</v>
      </c>
      <c r="D25" s="16" t="s">
        <v>111</v>
      </c>
      <c r="E25" s="17">
        <v>42265</v>
      </c>
      <c r="F25" s="18">
        <v>0.47693287037037035</v>
      </c>
      <c r="G25" s="16">
        <v>17425</v>
      </c>
      <c r="H25" s="16"/>
      <c r="I25" s="16" t="s">
        <v>70</v>
      </c>
      <c r="J25" s="16" t="s">
        <v>65</v>
      </c>
    </row>
    <row r="26" spans="1:10" ht="22.5" x14ac:dyDescent="0.25">
      <c r="A26" s="15">
        <v>192068</v>
      </c>
      <c r="B26" s="15">
        <v>12113</v>
      </c>
      <c r="C26" s="15" t="s">
        <v>112</v>
      </c>
      <c r="D26" s="15" t="s">
        <v>113</v>
      </c>
      <c r="E26" s="19">
        <v>42276</v>
      </c>
      <c r="F26" s="20">
        <v>0.65046296296296291</v>
      </c>
      <c r="G26" s="15">
        <v>40371</v>
      </c>
      <c r="H26" s="15"/>
      <c r="I26" s="15" t="s">
        <v>64</v>
      </c>
      <c r="J26" s="15" t="s">
        <v>65</v>
      </c>
    </row>
    <row r="27" spans="1:10" ht="22.5" x14ac:dyDescent="0.25">
      <c r="A27" s="16">
        <v>204030</v>
      </c>
      <c r="B27" s="16">
        <v>12435</v>
      </c>
      <c r="C27" s="16" t="s">
        <v>114</v>
      </c>
      <c r="D27" s="16" t="s">
        <v>115</v>
      </c>
      <c r="E27" s="17">
        <v>42277</v>
      </c>
      <c r="F27" s="18">
        <v>0.32394675925925925</v>
      </c>
      <c r="G27" s="16">
        <v>18157</v>
      </c>
      <c r="H27" s="16"/>
      <c r="I27" s="16" t="s">
        <v>64</v>
      </c>
      <c r="J27" s="16" t="s">
        <v>65</v>
      </c>
    </row>
    <row r="28" spans="1:10" ht="33.75" x14ac:dyDescent="0.25">
      <c r="A28" s="15">
        <v>172763</v>
      </c>
      <c r="B28" s="15">
        <v>13313</v>
      </c>
      <c r="C28" s="15" t="s">
        <v>116</v>
      </c>
      <c r="D28" s="15" t="s">
        <v>117</v>
      </c>
      <c r="E28" s="19">
        <v>42278</v>
      </c>
      <c r="F28" s="20">
        <v>0.69937499999999997</v>
      </c>
      <c r="G28" s="15">
        <v>5679</v>
      </c>
      <c r="H28" s="15"/>
      <c r="I28" s="15" t="s">
        <v>64</v>
      </c>
      <c r="J28" s="15" t="s">
        <v>65</v>
      </c>
    </row>
    <row r="29" spans="1:10" ht="45" x14ac:dyDescent="0.25">
      <c r="A29" s="16">
        <v>249831</v>
      </c>
      <c r="B29" s="16">
        <v>14445</v>
      </c>
      <c r="C29" s="16" t="s">
        <v>118</v>
      </c>
      <c r="D29" s="16" t="s">
        <v>119</v>
      </c>
      <c r="E29" s="17">
        <v>42282</v>
      </c>
      <c r="F29" s="18">
        <v>0.72546296296296298</v>
      </c>
      <c r="G29" s="16">
        <v>31714</v>
      </c>
      <c r="H29" s="16"/>
      <c r="I29" s="16" t="s">
        <v>64</v>
      </c>
      <c r="J29" s="16" t="s">
        <v>65</v>
      </c>
    </row>
    <row r="30" spans="1:10" ht="33.75" x14ac:dyDescent="0.25">
      <c r="A30" s="15">
        <v>227314</v>
      </c>
      <c r="B30" s="15">
        <v>21905</v>
      </c>
      <c r="C30" s="15" t="s">
        <v>120</v>
      </c>
      <c r="D30" s="15" t="s">
        <v>121</v>
      </c>
      <c r="E30" s="19">
        <v>42298</v>
      </c>
      <c r="F30" s="20">
        <v>0.3900925925925926</v>
      </c>
      <c r="G30" s="15">
        <v>27154</v>
      </c>
      <c r="H30" s="15"/>
      <c r="I30" s="15" t="s">
        <v>64</v>
      </c>
      <c r="J30" s="15" t="s">
        <v>65</v>
      </c>
    </row>
    <row r="31" spans="1:10" ht="33.75" x14ac:dyDescent="0.25">
      <c r="A31" s="16">
        <v>209075</v>
      </c>
      <c r="B31" s="16">
        <v>26579</v>
      </c>
      <c r="C31" s="16" t="s">
        <v>122</v>
      </c>
      <c r="D31" s="16" t="s">
        <v>108</v>
      </c>
      <c r="E31" s="17">
        <v>42304</v>
      </c>
      <c r="F31" s="18">
        <v>0.51901620370370372</v>
      </c>
      <c r="G31" s="16">
        <v>17425</v>
      </c>
      <c r="H31" s="16"/>
      <c r="I31" s="16" t="s">
        <v>64</v>
      </c>
      <c r="J31" s="16" t="s">
        <v>65</v>
      </c>
    </row>
    <row r="32" spans="1:10" ht="22.5" x14ac:dyDescent="0.25">
      <c r="A32" s="15">
        <v>233930</v>
      </c>
      <c r="B32" s="15">
        <v>26632</v>
      </c>
      <c r="C32" s="15" t="s">
        <v>123</v>
      </c>
      <c r="D32" s="15" t="s">
        <v>124</v>
      </c>
      <c r="E32" s="19">
        <v>42304</v>
      </c>
      <c r="F32" s="20">
        <v>0.55275462962962962</v>
      </c>
      <c r="G32" s="15">
        <v>14955</v>
      </c>
      <c r="H32" s="15"/>
      <c r="I32" s="15" t="s">
        <v>64</v>
      </c>
      <c r="J32" s="15" t="s">
        <v>65</v>
      </c>
    </row>
    <row r="33" spans="1:10" ht="33.75" x14ac:dyDescent="0.25">
      <c r="A33" s="16">
        <v>183958</v>
      </c>
      <c r="B33" s="16">
        <v>26840</v>
      </c>
      <c r="C33" s="16" t="s">
        <v>125</v>
      </c>
      <c r="D33" s="16" t="s">
        <v>126</v>
      </c>
      <c r="E33" s="17">
        <v>42304</v>
      </c>
      <c r="F33" s="18">
        <v>0.64719907407407407</v>
      </c>
      <c r="G33" s="16">
        <v>17451</v>
      </c>
      <c r="H33" s="16"/>
      <c r="I33" s="16" t="s">
        <v>64</v>
      </c>
      <c r="J33" s="16" t="s">
        <v>65</v>
      </c>
    </row>
    <row r="34" spans="1:10" ht="45" x14ac:dyDescent="0.25">
      <c r="A34" s="15">
        <v>183958</v>
      </c>
      <c r="B34" s="15">
        <v>26847</v>
      </c>
      <c r="C34" s="15" t="s">
        <v>127</v>
      </c>
      <c r="D34" s="15" t="s">
        <v>128</v>
      </c>
      <c r="E34" s="19">
        <v>42304</v>
      </c>
      <c r="F34" s="20">
        <v>0.64878472222222228</v>
      </c>
      <c r="G34" s="15">
        <v>17451</v>
      </c>
      <c r="H34" s="15"/>
      <c r="I34" s="15" t="s">
        <v>64</v>
      </c>
      <c r="J34" s="15" t="s">
        <v>65</v>
      </c>
    </row>
    <row r="35" spans="1:10" ht="33.75" x14ac:dyDescent="0.25">
      <c r="A35" s="16">
        <v>233930</v>
      </c>
      <c r="B35" s="16">
        <v>27993</v>
      </c>
      <c r="C35" s="16" t="s">
        <v>129</v>
      </c>
      <c r="D35" s="16" t="s">
        <v>130</v>
      </c>
      <c r="E35" s="17">
        <v>42305</v>
      </c>
      <c r="F35" s="18">
        <v>0.60380787037037043</v>
      </c>
      <c r="G35" s="16">
        <v>14955</v>
      </c>
      <c r="H35" s="16"/>
      <c r="I35" s="16" t="s">
        <v>64</v>
      </c>
      <c r="J35" s="16" t="s">
        <v>65</v>
      </c>
    </row>
    <row r="36" spans="1:10" ht="22.5" x14ac:dyDescent="0.25">
      <c r="A36" s="15">
        <v>152408</v>
      </c>
      <c r="B36" s="15">
        <v>30308</v>
      </c>
      <c r="C36" s="15" t="s">
        <v>131</v>
      </c>
      <c r="D36" s="15" t="s">
        <v>132</v>
      </c>
      <c r="E36" s="19">
        <v>42307</v>
      </c>
      <c r="F36" s="20">
        <v>0.46931712962962963</v>
      </c>
      <c r="G36" s="15">
        <v>23695</v>
      </c>
      <c r="H36" s="15"/>
      <c r="I36" s="15" t="s">
        <v>64</v>
      </c>
      <c r="J36" s="15" t="s">
        <v>65</v>
      </c>
    </row>
    <row r="37" spans="1:10" ht="33.75" x14ac:dyDescent="0.25">
      <c r="A37" s="16">
        <v>213411</v>
      </c>
      <c r="B37" s="16">
        <v>32533</v>
      </c>
      <c r="C37" s="16" t="s">
        <v>133</v>
      </c>
      <c r="D37" s="16" t="s">
        <v>134</v>
      </c>
      <c r="E37" s="17">
        <v>42313</v>
      </c>
      <c r="F37" s="18">
        <v>0.55276620370370366</v>
      </c>
      <c r="G37" s="16">
        <v>10142</v>
      </c>
      <c r="H37" s="16"/>
      <c r="I37" s="16" t="s">
        <v>64</v>
      </c>
      <c r="J37" s="16" t="s">
        <v>65</v>
      </c>
    </row>
    <row r="38" spans="1:10" ht="33.75" x14ac:dyDescent="0.25">
      <c r="A38" s="15">
        <v>213411</v>
      </c>
      <c r="B38" s="15">
        <v>32542</v>
      </c>
      <c r="C38" s="15"/>
      <c r="D38" s="15" t="s">
        <v>135</v>
      </c>
      <c r="E38" s="19">
        <v>42313</v>
      </c>
      <c r="F38" s="20">
        <v>0.56718749999999996</v>
      </c>
      <c r="G38" s="15">
        <v>10142</v>
      </c>
      <c r="H38" s="15"/>
      <c r="I38" s="15" t="s">
        <v>70</v>
      </c>
      <c r="J38" s="15" t="s">
        <v>136</v>
      </c>
    </row>
    <row r="39" spans="1:10" ht="33.75" x14ac:dyDescent="0.25">
      <c r="A39" s="16">
        <v>227314</v>
      </c>
      <c r="B39" s="16">
        <v>36265</v>
      </c>
      <c r="C39" s="16" t="s">
        <v>137</v>
      </c>
      <c r="D39" s="16" t="s">
        <v>138</v>
      </c>
      <c r="E39" s="17">
        <v>42407</v>
      </c>
      <c r="F39" s="18">
        <v>0.62681712962962965</v>
      </c>
      <c r="G39" s="16">
        <v>27154</v>
      </c>
      <c r="H39" s="16"/>
      <c r="I39" s="16" t="s">
        <v>70</v>
      </c>
      <c r="J39" s="16" t="s">
        <v>65</v>
      </c>
    </row>
    <row r="40" spans="1:10" ht="33.75" x14ac:dyDescent="0.25">
      <c r="A40" s="15">
        <v>167673</v>
      </c>
      <c r="B40" s="15">
        <v>37891</v>
      </c>
      <c r="C40" s="15" t="s">
        <v>139</v>
      </c>
      <c r="D40" s="15" t="s">
        <v>140</v>
      </c>
      <c r="E40" s="19">
        <v>42460</v>
      </c>
      <c r="F40" s="20">
        <v>0.52707175925925931</v>
      </c>
      <c r="G40" s="15">
        <v>9223</v>
      </c>
      <c r="H40" s="15"/>
      <c r="I40" s="15" t="s">
        <v>64</v>
      </c>
      <c r="J40" s="15" t="s">
        <v>65</v>
      </c>
    </row>
    <row r="41" spans="1:10" ht="45" x14ac:dyDescent="0.25">
      <c r="A41" s="16">
        <v>183958</v>
      </c>
      <c r="B41" s="16">
        <v>38922</v>
      </c>
      <c r="C41" s="16" t="s">
        <v>141</v>
      </c>
      <c r="D41" s="16" t="s">
        <v>142</v>
      </c>
      <c r="E41" s="17">
        <v>42479</v>
      </c>
      <c r="F41" s="18">
        <v>0.41642361111111109</v>
      </c>
      <c r="G41" s="16">
        <v>17451</v>
      </c>
      <c r="H41" s="16"/>
      <c r="I41" s="16" t="s">
        <v>70</v>
      </c>
      <c r="J41" s="16" t="s">
        <v>65</v>
      </c>
    </row>
    <row r="42" spans="1:10" ht="33.75" x14ac:dyDescent="0.25">
      <c r="A42" s="15">
        <v>216618</v>
      </c>
      <c r="B42" s="15">
        <v>39204</v>
      </c>
      <c r="C42" s="15" t="s">
        <v>143</v>
      </c>
      <c r="D42" s="15" t="s">
        <v>144</v>
      </c>
      <c r="E42" s="19">
        <v>42487</v>
      </c>
      <c r="F42" s="20">
        <v>0.47363425925925928</v>
      </c>
      <c r="G42" s="15">
        <v>23930</v>
      </c>
      <c r="H42" s="15"/>
      <c r="I42" s="15" t="s">
        <v>64</v>
      </c>
      <c r="J42" s="15" t="s">
        <v>65</v>
      </c>
    </row>
    <row r="43" spans="1:10" ht="22.5" x14ac:dyDescent="0.25">
      <c r="A43" s="16">
        <v>134406</v>
      </c>
      <c r="B43" s="16">
        <v>41185</v>
      </c>
      <c r="C43" s="16" t="s">
        <v>145</v>
      </c>
      <c r="D43" s="16" t="s">
        <v>146</v>
      </c>
      <c r="E43" s="17">
        <v>42568</v>
      </c>
      <c r="F43" s="18">
        <v>0.50002314814814819</v>
      </c>
      <c r="G43" s="16">
        <v>2</v>
      </c>
      <c r="H43" s="16"/>
      <c r="I43" s="16" t="s">
        <v>70</v>
      </c>
      <c r="J43" s="16" t="s">
        <v>65</v>
      </c>
    </row>
    <row r="44" spans="1:10" ht="33.75" x14ac:dyDescent="0.25">
      <c r="A44" s="15">
        <v>233406</v>
      </c>
      <c r="B44" s="15">
        <v>44053</v>
      </c>
      <c r="C44" s="15" t="s">
        <v>147</v>
      </c>
      <c r="D44" s="15" t="s">
        <v>148</v>
      </c>
      <c r="E44" s="19">
        <v>42873</v>
      </c>
      <c r="F44" s="20">
        <v>0.65057870370370374</v>
      </c>
      <c r="G44" s="15">
        <v>3</v>
      </c>
      <c r="H44" s="15"/>
      <c r="I44" s="15" t="s">
        <v>64</v>
      </c>
      <c r="J44" s="15" t="s">
        <v>65</v>
      </c>
    </row>
    <row r="45" spans="1:10" ht="33.75" x14ac:dyDescent="0.25">
      <c r="A45" s="16">
        <v>233926</v>
      </c>
      <c r="B45" s="16">
        <v>45317</v>
      </c>
      <c r="C45" s="16" t="s">
        <v>149</v>
      </c>
      <c r="D45" s="16" t="s">
        <v>150</v>
      </c>
      <c r="E45" s="17">
        <v>42947</v>
      </c>
      <c r="F45" s="18">
        <v>0.66365740740740742</v>
      </c>
      <c r="G45" s="16">
        <v>33938</v>
      </c>
      <c r="H45" s="16"/>
      <c r="I45" s="16" t="s">
        <v>70</v>
      </c>
      <c r="J45" s="16" t="s">
        <v>65</v>
      </c>
    </row>
    <row r="46" spans="1:10" ht="45" x14ac:dyDescent="0.25">
      <c r="A46" s="15">
        <v>128589</v>
      </c>
      <c r="B46" s="15">
        <v>48935</v>
      </c>
      <c r="C46" s="15" t="s">
        <v>151</v>
      </c>
      <c r="D46" s="15" t="s">
        <v>152</v>
      </c>
      <c r="E46" s="19">
        <v>43343</v>
      </c>
      <c r="F46" s="20">
        <v>0.4849074074074074</v>
      </c>
      <c r="G46" s="15">
        <v>6350</v>
      </c>
      <c r="H46" s="15">
        <v>0</v>
      </c>
      <c r="I46" s="15" t="s">
        <v>64</v>
      </c>
      <c r="J46" s="15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1D90-346D-4E2D-A77B-0D94183A0FEC}">
  <dimension ref="A1:J46"/>
  <sheetViews>
    <sheetView workbookViewId="0">
      <selection activeCell="D5" sqref="D5"/>
    </sheetView>
  </sheetViews>
  <sheetFormatPr defaultRowHeight="15" x14ac:dyDescent="0.25"/>
  <cols>
    <col min="4" max="4" width="41.7109375" bestFit="1" customWidth="1"/>
  </cols>
  <sheetData>
    <row r="1" spans="1:10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</row>
    <row r="2" spans="1:10" x14ac:dyDescent="0.25">
      <c r="A2">
        <v>233406</v>
      </c>
      <c r="B2">
        <v>41</v>
      </c>
      <c r="C2" t="s">
        <v>62</v>
      </c>
      <c r="D2" t="s">
        <v>63</v>
      </c>
      <c r="G2">
        <v>3</v>
      </c>
      <c r="I2" t="s">
        <v>64</v>
      </c>
      <c r="J2" t="s">
        <v>65</v>
      </c>
    </row>
    <row r="3" spans="1:10" x14ac:dyDescent="0.25">
      <c r="A3">
        <v>158570</v>
      </c>
      <c r="B3">
        <v>63</v>
      </c>
      <c r="C3" t="s">
        <v>66</v>
      </c>
      <c r="D3" t="s">
        <v>67</v>
      </c>
      <c r="G3">
        <v>50</v>
      </c>
      <c r="I3" t="s">
        <v>64</v>
      </c>
      <c r="J3" t="s">
        <v>65</v>
      </c>
    </row>
    <row r="4" spans="1:10" x14ac:dyDescent="0.25">
      <c r="A4">
        <v>158570</v>
      </c>
      <c r="B4">
        <v>66</v>
      </c>
      <c r="C4" t="s">
        <v>68</v>
      </c>
      <c r="D4" t="s">
        <v>69</v>
      </c>
      <c r="G4">
        <v>50</v>
      </c>
      <c r="I4" t="s">
        <v>70</v>
      </c>
      <c r="J4" t="s">
        <v>65</v>
      </c>
    </row>
    <row r="5" spans="1:10" x14ac:dyDescent="0.25">
      <c r="A5">
        <v>172785</v>
      </c>
      <c r="B5">
        <v>169</v>
      </c>
      <c r="C5" t="s">
        <v>71</v>
      </c>
      <c r="D5" t="s">
        <v>72</v>
      </c>
      <c r="E5">
        <v>42231</v>
      </c>
      <c r="F5">
        <v>0.67592592592592593</v>
      </c>
      <c r="G5">
        <v>122</v>
      </c>
      <c r="I5" t="s">
        <v>64</v>
      </c>
      <c r="J5" t="s">
        <v>65</v>
      </c>
    </row>
    <row r="6" spans="1:10" x14ac:dyDescent="0.25">
      <c r="A6">
        <v>188483</v>
      </c>
      <c r="B6">
        <v>252</v>
      </c>
      <c r="C6" t="s">
        <v>73</v>
      </c>
      <c r="D6" t="s">
        <v>74</v>
      </c>
      <c r="E6">
        <v>42234</v>
      </c>
      <c r="F6">
        <v>0.4914236111111111</v>
      </c>
      <c r="G6">
        <v>18</v>
      </c>
      <c r="I6" t="s">
        <v>64</v>
      </c>
      <c r="J6" t="s">
        <v>65</v>
      </c>
    </row>
    <row r="7" spans="1:10" x14ac:dyDescent="0.25">
      <c r="A7">
        <v>198895</v>
      </c>
      <c r="B7">
        <v>541</v>
      </c>
      <c r="C7" t="s">
        <v>75</v>
      </c>
      <c r="D7" t="s">
        <v>76</v>
      </c>
      <c r="E7">
        <v>42238</v>
      </c>
      <c r="F7">
        <v>0.77318287037037037</v>
      </c>
      <c r="G7">
        <v>46715</v>
      </c>
      <c r="I7" t="s">
        <v>64</v>
      </c>
      <c r="J7" t="s">
        <v>65</v>
      </c>
    </row>
    <row r="8" spans="1:10" x14ac:dyDescent="0.25">
      <c r="A8">
        <v>291266</v>
      </c>
      <c r="B8">
        <v>671</v>
      </c>
      <c r="C8" t="s">
        <v>77</v>
      </c>
      <c r="D8" t="s">
        <v>78</v>
      </c>
      <c r="E8">
        <v>42239</v>
      </c>
      <c r="F8">
        <v>0.58758101851851852</v>
      </c>
      <c r="G8">
        <v>12214</v>
      </c>
      <c r="I8" t="s">
        <v>64</v>
      </c>
      <c r="J8" t="s">
        <v>65</v>
      </c>
    </row>
    <row r="9" spans="1:10" x14ac:dyDescent="0.25">
      <c r="A9">
        <v>246820</v>
      </c>
      <c r="B9">
        <v>781</v>
      </c>
      <c r="C9" t="s">
        <v>79</v>
      </c>
      <c r="D9" t="s">
        <v>80</v>
      </c>
      <c r="E9">
        <v>42240</v>
      </c>
      <c r="F9">
        <v>0.39723379629629629</v>
      </c>
      <c r="G9">
        <v>8677</v>
      </c>
      <c r="I9" t="s">
        <v>64</v>
      </c>
      <c r="J9" t="s">
        <v>65</v>
      </c>
    </row>
    <row r="10" spans="1:10" x14ac:dyDescent="0.25">
      <c r="A10">
        <v>183315</v>
      </c>
      <c r="B10">
        <v>1081</v>
      </c>
      <c r="C10" t="s">
        <v>81</v>
      </c>
      <c r="D10" t="s">
        <v>82</v>
      </c>
      <c r="E10">
        <v>42243</v>
      </c>
      <c r="F10">
        <v>0.8718055555555555</v>
      </c>
      <c r="G10">
        <v>90</v>
      </c>
      <c r="I10" t="s">
        <v>64</v>
      </c>
      <c r="J10" t="s">
        <v>65</v>
      </c>
    </row>
    <row r="11" spans="1:10" x14ac:dyDescent="0.25">
      <c r="A11">
        <v>183315</v>
      </c>
      <c r="B11">
        <v>1082</v>
      </c>
      <c r="D11" t="s">
        <v>83</v>
      </c>
      <c r="E11">
        <v>42243</v>
      </c>
      <c r="F11">
        <v>0.87508101851851849</v>
      </c>
      <c r="G11">
        <v>90</v>
      </c>
      <c r="I11" t="s">
        <v>70</v>
      </c>
      <c r="J11" t="s">
        <v>84</v>
      </c>
    </row>
    <row r="12" spans="1:10" x14ac:dyDescent="0.25">
      <c r="A12">
        <v>187071</v>
      </c>
      <c r="B12">
        <v>1292</v>
      </c>
      <c r="C12" t="s">
        <v>85</v>
      </c>
      <c r="D12" t="s">
        <v>86</v>
      </c>
      <c r="E12">
        <v>42246</v>
      </c>
      <c r="F12">
        <v>0.59245370370370365</v>
      </c>
      <c r="G12">
        <v>43</v>
      </c>
      <c r="I12" t="s">
        <v>64</v>
      </c>
      <c r="J12" t="s">
        <v>65</v>
      </c>
    </row>
    <row r="13" spans="1:10" x14ac:dyDescent="0.25">
      <c r="A13">
        <v>216618</v>
      </c>
      <c r="B13">
        <v>1374</v>
      </c>
      <c r="C13" t="s">
        <v>87</v>
      </c>
      <c r="D13" t="s">
        <v>88</v>
      </c>
      <c r="E13">
        <v>42247</v>
      </c>
      <c r="F13">
        <v>0.50177083333333339</v>
      </c>
      <c r="G13">
        <v>23930</v>
      </c>
      <c r="I13" t="s">
        <v>64</v>
      </c>
      <c r="J13" t="s">
        <v>65</v>
      </c>
    </row>
    <row r="14" spans="1:10" x14ac:dyDescent="0.25">
      <c r="A14">
        <v>226212</v>
      </c>
      <c r="B14">
        <v>2498</v>
      </c>
      <c r="C14" t="s">
        <v>89</v>
      </c>
      <c r="D14" t="s">
        <v>90</v>
      </c>
      <c r="E14">
        <v>42251</v>
      </c>
      <c r="F14">
        <v>0.64543981481481483</v>
      </c>
      <c r="G14">
        <v>22878</v>
      </c>
      <c r="I14" t="s">
        <v>64</v>
      </c>
      <c r="J14" t="s">
        <v>65</v>
      </c>
    </row>
    <row r="15" spans="1:10" x14ac:dyDescent="0.25">
      <c r="A15">
        <v>263976</v>
      </c>
      <c r="B15">
        <v>2586</v>
      </c>
      <c r="C15" t="s">
        <v>91</v>
      </c>
      <c r="D15" t="s">
        <v>92</v>
      </c>
      <c r="E15">
        <v>42251</v>
      </c>
      <c r="F15">
        <v>0.90809027777777773</v>
      </c>
      <c r="G15">
        <v>18127</v>
      </c>
      <c r="I15" t="s">
        <v>64</v>
      </c>
      <c r="J15" t="s">
        <v>65</v>
      </c>
    </row>
    <row r="16" spans="1:10" x14ac:dyDescent="0.25">
      <c r="A16">
        <v>134406</v>
      </c>
      <c r="B16">
        <v>3130</v>
      </c>
      <c r="C16" t="s">
        <v>93</v>
      </c>
      <c r="D16" t="s">
        <v>94</v>
      </c>
      <c r="E16">
        <v>42255</v>
      </c>
      <c r="F16">
        <v>0.48576388888888888</v>
      </c>
      <c r="G16">
        <v>2</v>
      </c>
      <c r="I16" t="s">
        <v>70</v>
      </c>
      <c r="J16" t="s">
        <v>65</v>
      </c>
    </row>
    <row r="17" spans="1:10" x14ac:dyDescent="0.25">
      <c r="A17">
        <v>134406</v>
      </c>
      <c r="B17">
        <v>3357</v>
      </c>
      <c r="C17" t="s">
        <v>95</v>
      </c>
      <c r="D17" t="s">
        <v>96</v>
      </c>
      <c r="E17">
        <v>42256</v>
      </c>
      <c r="F17">
        <v>4.1365740740740738E-2</v>
      </c>
      <c r="G17">
        <v>2</v>
      </c>
      <c r="I17" t="s">
        <v>64</v>
      </c>
      <c r="J17" t="s">
        <v>65</v>
      </c>
    </row>
    <row r="18" spans="1:10" x14ac:dyDescent="0.25">
      <c r="A18">
        <v>277934</v>
      </c>
      <c r="B18">
        <v>3957</v>
      </c>
      <c r="C18" t="s">
        <v>97</v>
      </c>
      <c r="D18" t="s">
        <v>98</v>
      </c>
      <c r="E18">
        <v>42257</v>
      </c>
      <c r="F18">
        <v>0.77364583333333337</v>
      </c>
      <c r="G18">
        <v>45</v>
      </c>
      <c r="I18" t="s">
        <v>64</v>
      </c>
      <c r="J18" t="s">
        <v>65</v>
      </c>
    </row>
    <row r="19" spans="1:10" x14ac:dyDescent="0.25">
      <c r="A19">
        <v>277934</v>
      </c>
      <c r="B19">
        <v>4142</v>
      </c>
      <c r="C19" t="s">
        <v>99</v>
      </c>
      <c r="D19" t="s">
        <v>100</v>
      </c>
      <c r="E19">
        <v>42258</v>
      </c>
      <c r="F19">
        <v>0.51185185185185189</v>
      </c>
      <c r="G19">
        <v>45</v>
      </c>
      <c r="I19" t="s">
        <v>64</v>
      </c>
      <c r="J19" t="s">
        <v>65</v>
      </c>
    </row>
    <row r="20" spans="1:10" x14ac:dyDescent="0.25">
      <c r="A20">
        <v>220316</v>
      </c>
      <c r="B20">
        <v>5335</v>
      </c>
      <c r="C20" t="s">
        <v>101</v>
      </c>
      <c r="D20" t="s">
        <v>102</v>
      </c>
      <c r="E20">
        <v>42263</v>
      </c>
      <c r="F20">
        <v>0.47850694444444447</v>
      </c>
      <c r="G20">
        <v>23555</v>
      </c>
      <c r="I20" t="s">
        <v>64</v>
      </c>
      <c r="J20" t="s">
        <v>65</v>
      </c>
    </row>
    <row r="21" spans="1:10" x14ac:dyDescent="0.25">
      <c r="A21">
        <v>277632</v>
      </c>
      <c r="B21">
        <v>6146</v>
      </c>
      <c r="C21" t="s">
        <v>103</v>
      </c>
      <c r="D21" t="s">
        <v>104</v>
      </c>
      <c r="E21">
        <v>42264</v>
      </c>
      <c r="F21">
        <v>0.77767361111111111</v>
      </c>
      <c r="G21">
        <v>17562</v>
      </c>
      <c r="I21" t="s">
        <v>64</v>
      </c>
      <c r="J21" t="s">
        <v>65</v>
      </c>
    </row>
    <row r="22" spans="1:10" x14ac:dyDescent="0.25">
      <c r="A22">
        <v>277632</v>
      </c>
      <c r="B22">
        <v>6158</v>
      </c>
      <c r="C22" t="s">
        <v>105</v>
      </c>
      <c r="D22" t="s">
        <v>106</v>
      </c>
      <c r="E22">
        <v>42264</v>
      </c>
      <c r="F22">
        <v>0.7882986111111111</v>
      </c>
      <c r="G22">
        <v>17562</v>
      </c>
      <c r="I22" t="s">
        <v>64</v>
      </c>
      <c r="J22" t="s">
        <v>65</v>
      </c>
    </row>
    <row r="23" spans="1:10" x14ac:dyDescent="0.25">
      <c r="A23">
        <v>209075</v>
      </c>
      <c r="B23">
        <v>6308</v>
      </c>
      <c r="C23" t="s">
        <v>107</v>
      </c>
      <c r="D23" t="s">
        <v>108</v>
      </c>
      <c r="E23">
        <v>42265</v>
      </c>
      <c r="F23">
        <v>6.1863425925925926E-2</v>
      </c>
      <c r="G23">
        <v>17425</v>
      </c>
      <c r="I23" t="s">
        <v>70</v>
      </c>
      <c r="J23" t="s">
        <v>65</v>
      </c>
    </row>
    <row r="24" spans="1:10" x14ac:dyDescent="0.25">
      <c r="A24">
        <v>209075</v>
      </c>
      <c r="B24">
        <v>6309</v>
      </c>
      <c r="C24" t="s">
        <v>109</v>
      </c>
      <c r="D24" t="s">
        <v>108</v>
      </c>
      <c r="E24">
        <v>42265</v>
      </c>
      <c r="F24">
        <v>7.1724537037037031E-2</v>
      </c>
      <c r="G24">
        <v>17425</v>
      </c>
      <c r="I24" t="s">
        <v>70</v>
      </c>
      <c r="J24" t="s">
        <v>65</v>
      </c>
    </row>
    <row r="25" spans="1:10" x14ac:dyDescent="0.25">
      <c r="A25">
        <v>209075</v>
      </c>
      <c r="B25">
        <v>6541</v>
      </c>
      <c r="C25" t="s">
        <v>110</v>
      </c>
      <c r="D25" t="s">
        <v>111</v>
      </c>
      <c r="E25">
        <v>42265</v>
      </c>
      <c r="F25">
        <v>0.47693287037037035</v>
      </c>
      <c r="G25">
        <v>17425</v>
      </c>
      <c r="I25" t="s">
        <v>70</v>
      </c>
      <c r="J25" t="s">
        <v>65</v>
      </c>
    </row>
    <row r="26" spans="1:10" x14ac:dyDescent="0.25">
      <c r="A26">
        <v>192068</v>
      </c>
      <c r="B26">
        <v>12113</v>
      </c>
      <c r="C26" t="s">
        <v>112</v>
      </c>
      <c r="D26" t="s">
        <v>113</v>
      </c>
      <c r="E26">
        <v>42276</v>
      </c>
      <c r="F26">
        <v>0.65046296296296291</v>
      </c>
      <c r="G26">
        <v>40371</v>
      </c>
      <c r="I26" t="s">
        <v>64</v>
      </c>
      <c r="J26" t="s">
        <v>65</v>
      </c>
    </row>
    <row r="27" spans="1:10" x14ac:dyDescent="0.25">
      <c r="A27">
        <v>204030</v>
      </c>
      <c r="B27">
        <v>12435</v>
      </c>
      <c r="C27" t="s">
        <v>114</v>
      </c>
      <c r="D27" t="s">
        <v>115</v>
      </c>
      <c r="E27">
        <v>42277</v>
      </c>
      <c r="F27">
        <v>0.32394675925925925</v>
      </c>
      <c r="G27">
        <v>18157</v>
      </c>
      <c r="I27" t="s">
        <v>64</v>
      </c>
      <c r="J27" t="s">
        <v>65</v>
      </c>
    </row>
    <row r="28" spans="1:10" x14ac:dyDescent="0.25">
      <c r="A28">
        <v>172763</v>
      </c>
      <c r="B28">
        <v>13313</v>
      </c>
      <c r="C28" t="s">
        <v>116</v>
      </c>
      <c r="D28" t="s">
        <v>117</v>
      </c>
      <c r="E28">
        <v>42278</v>
      </c>
      <c r="F28">
        <v>0.69937499999999997</v>
      </c>
      <c r="G28">
        <v>5679</v>
      </c>
      <c r="I28" t="s">
        <v>64</v>
      </c>
      <c r="J28" t="s">
        <v>65</v>
      </c>
    </row>
    <row r="29" spans="1:10" x14ac:dyDescent="0.25">
      <c r="A29">
        <v>249831</v>
      </c>
      <c r="B29">
        <v>14445</v>
      </c>
      <c r="C29" t="s">
        <v>118</v>
      </c>
      <c r="D29" t="s">
        <v>119</v>
      </c>
      <c r="E29">
        <v>42282</v>
      </c>
      <c r="F29">
        <v>0.72546296296296298</v>
      </c>
      <c r="G29">
        <v>31714</v>
      </c>
      <c r="I29" t="s">
        <v>64</v>
      </c>
      <c r="J29" t="s">
        <v>65</v>
      </c>
    </row>
    <row r="30" spans="1:10" x14ac:dyDescent="0.25">
      <c r="A30">
        <v>227314</v>
      </c>
      <c r="B30">
        <v>21905</v>
      </c>
      <c r="C30" t="s">
        <v>120</v>
      </c>
      <c r="D30" t="s">
        <v>121</v>
      </c>
      <c r="E30">
        <v>42298</v>
      </c>
      <c r="F30">
        <v>0.3900925925925926</v>
      </c>
      <c r="G30">
        <v>27154</v>
      </c>
      <c r="I30" t="s">
        <v>64</v>
      </c>
      <c r="J30" t="s">
        <v>65</v>
      </c>
    </row>
    <row r="31" spans="1:10" x14ac:dyDescent="0.25">
      <c r="A31">
        <v>209075</v>
      </c>
      <c r="B31">
        <v>26579</v>
      </c>
      <c r="C31" t="s">
        <v>122</v>
      </c>
      <c r="D31" t="s">
        <v>108</v>
      </c>
      <c r="E31">
        <v>42304</v>
      </c>
      <c r="F31">
        <v>0.51901620370370372</v>
      </c>
      <c r="G31">
        <v>17425</v>
      </c>
      <c r="I31" t="s">
        <v>64</v>
      </c>
      <c r="J31" t="s">
        <v>65</v>
      </c>
    </row>
    <row r="32" spans="1:10" x14ac:dyDescent="0.25">
      <c r="A32">
        <v>233930</v>
      </c>
      <c r="B32">
        <v>26632</v>
      </c>
      <c r="C32" t="s">
        <v>123</v>
      </c>
      <c r="D32" t="s">
        <v>124</v>
      </c>
      <c r="E32">
        <v>42304</v>
      </c>
      <c r="F32">
        <v>0.55275462962962962</v>
      </c>
      <c r="G32">
        <v>14955</v>
      </c>
      <c r="I32" t="s">
        <v>64</v>
      </c>
      <c r="J32" t="s">
        <v>65</v>
      </c>
    </row>
    <row r="33" spans="1:10" x14ac:dyDescent="0.25">
      <c r="A33">
        <v>183958</v>
      </c>
      <c r="B33">
        <v>26840</v>
      </c>
      <c r="C33" t="s">
        <v>125</v>
      </c>
      <c r="D33" t="s">
        <v>126</v>
      </c>
      <c r="E33">
        <v>42304</v>
      </c>
      <c r="F33">
        <v>0.64719907407407407</v>
      </c>
      <c r="G33">
        <v>17451</v>
      </c>
      <c r="I33" t="s">
        <v>64</v>
      </c>
      <c r="J33" t="s">
        <v>65</v>
      </c>
    </row>
    <row r="34" spans="1:10" x14ac:dyDescent="0.25">
      <c r="A34">
        <v>183958</v>
      </c>
      <c r="B34">
        <v>26847</v>
      </c>
      <c r="C34" t="s">
        <v>127</v>
      </c>
      <c r="D34" t="s">
        <v>128</v>
      </c>
      <c r="E34">
        <v>42304</v>
      </c>
      <c r="F34">
        <v>0.64878472222222228</v>
      </c>
      <c r="G34">
        <v>17451</v>
      </c>
      <c r="I34" t="s">
        <v>64</v>
      </c>
      <c r="J34" t="s">
        <v>65</v>
      </c>
    </row>
    <row r="35" spans="1:10" x14ac:dyDescent="0.25">
      <c r="A35">
        <v>233930</v>
      </c>
      <c r="B35">
        <v>27993</v>
      </c>
      <c r="C35" t="s">
        <v>129</v>
      </c>
      <c r="D35" t="s">
        <v>130</v>
      </c>
      <c r="E35">
        <v>42305</v>
      </c>
      <c r="F35">
        <v>0.60380787037037043</v>
      </c>
      <c r="G35">
        <v>14955</v>
      </c>
      <c r="I35" t="s">
        <v>64</v>
      </c>
      <c r="J35" t="s">
        <v>65</v>
      </c>
    </row>
    <row r="36" spans="1:10" x14ac:dyDescent="0.25">
      <c r="A36">
        <v>152408</v>
      </c>
      <c r="B36">
        <v>30308</v>
      </c>
      <c r="C36" t="s">
        <v>131</v>
      </c>
      <c r="D36" t="s">
        <v>132</v>
      </c>
      <c r="E36">
        <v>42307</v>
      </c>
      <c r="F36">
        <v>0.46931712962962963</v>
      </c>
      <c r="G36">
        <v>23695</v>
      </c>
      <c r="I36" t="s">
        <v>64</v>
      </c>
      <c r="J36" t="s">
        <v>65</v>
      </c>
    </row>
    <row r="37" spans="1:10" x14ac:dyDescent="0.25">
      <c r="A37">
        <v>213411</v>
      </c>
      <c r="B37">
        <v>32533</v>
      </c>
      <c r="C37" t="s">
        <v>133</v>
      </c>
      <c r="D37" t="s">
        <v>134</v>
      </c>
      <c r="E37">
        <v>42313</v>
      </c>
      <c r="F37">
        <v>0.55276620370370366</v>
      </c>
      <c r="G37">
        <v>10142</v>
      </c>
      <c r="I37" t="s">
        <v>64</v>
      </c>
      <c r="J37" t="s">
        <v>65</v>
      </c>
    </row>
    <row r="38" spans="1:10" x14ac:dyDescent="0.25">
      <c r="A38">
        <v>213411</v>
      </c>
      <c r="B38">
        <v>32542</v>
      </c>
      <c r="D38" t="s">
        <v>135</v>
      </c>
      <c r="E38">
        <v>42313</v>
      </c>
      <c r="F38">
        <v>0.56718749999999996</v>
      </c>
      <c r="G38">
        <v>10142</v>
      </c>
      <c r="I38" t="s">
        <v>70</v>
      </c>
      <c r="J38" t="s">
        <v>136</v>
      </c>
    </row>
    <row r="39" spans="1:10" x14ac:dyDescent="0.25">
      <c r="A39">
        <v>227314</v>
      </c>
      <c r="B39">
        <v>36265</v>
      </c>
      <c r="C39" t="s">
        <v>137</v>
      </c>
      <c r="D39" t="s">
        <v>138</v>
      </c>
      <c r="E39">
        <v>42407</v>
      </c>
      <c r="F39">
        <v>0.62681712962962965</v>
      </c>
      <c r="G39">
        <v>27154</v>
      </c>
      <c r="I39" t="s">
        <v>70</v>
      </c>
      <c r="J39" t="s">
        <v>65</v>
      </c>
    </row>
    <row r="40" spans="1:10" x14ac:dyDescent="0.25">
      <c r="A40">
        <v>167673</v>
      </c>
      <c r="B40">
        <v>37891</v>
      </c>
      <c r="C40" t="s">
        <v>139</v>
      </c>
      <c r="D40" t="s">
        <v>140</v>
      </c>
      <c r="E40">
        <v>42460</v>
      </c>
      <c r="F40">
        <v>0.52707175925925931</v>
      </c>
      <c r="G40">
        <v>9223</v>
      </c>
      <c r="I40" t="s">
        <v>64</v>
      </c>
      <c r="J40" t="s">
        <v>65</v>
      </c>
    </row>
    <row r="41" spans="1:10" x14ac:dyDescent="0.25">
      <c r="A41">
        <v>183958</v>
      </c>
      <c r="B41">
        <v>38922</v>
      </c>
      <c r="C41" t="s">
        <v>141</v>
      </c>
      <c r="D41" t="s">
        <v>142</v>
      </c>
      <c r="E41">
        <v>42479</v>
      </c>
      <c r="F41">
        <v>0.41642361111111109</v>
      </c>
      <c r="G41">
        <v>17451</v>
      </c>
      <c r="I41" t="s">
        <v>70</v>
      </c>
      <c r="J41" t="s">
        <v>65</v>
      </c>
    </row>
    <row r="42" spans="1:10" x14ac:dyDescent="0.25">
      <c r="A42">
        <v>216618</v>
      </c>
      <c r="B42">
        <v>39204</v>
      </c>
      <c r="C42" t="s">
        <v>143</v>
      </c>
      <c r="D42" t="s">
        <v>144</v>
      </c>
      <c r="E42">
        <v>42487</v>
      </c>
      <c r="F42">
        <v>0.47363425925925928</v>
      </c>
      <c r="G42">
        <v>23930</v>
      </c>
      <c r="I42" t="s">
        <v>64</v>
      </c>
      <c r="J42" t="s">
        <v>65</v>
      </c>
    </row>
    <row r="43" spans="1:10" x14ac:dyDescent="0.25">
      <c r="A43">
        <v>134406</v>
      </c>
      <c r="B43">
        <v>41185</v>
      </c>
      <c r="C43" t="s">
        <v>145</v>
      </c>
      <c r="D43" t="s">
        <v>146</v>
      </c>
      <c r="E43">
        <v>42568</v>
      </c>
      <c r="F43">
        <v>0.50002314814814819</v>
      </c>
      <c r="G43">
        <v>2</v>
      </c>
      <c r="I43" t="s">
        <v>70</v>
      </c>
      <c r="J43" t="s">
        <v>65</v>
      </c>
    </row>
    <row r="44" spans="1:10" x14ac:dyDescent="0.25">
      <c r="A44">
        <v>233406</v>
      </c>
      <c r="B44">
        <v>44053</v>
      </c>
      <c r="C44" t="s">
        <v>147</v>
      </c>
      <c r="D44" t="s">
        <v>148</v>
      </c>
      <c r="E44">
        <v>42873</v>
      </c>
      <c r="F44">
        <v>0.65057870370370374</v>
      </c>
      <c r="G44">
        <v>3</v>
      </c>
      <c r="I44" t="s">
        <v>64</v>
      </c>
      <c r="J44" t="s">
        <v>65</v>
      </c>
    </row>
    <row r="45" spans="1:10" x14ac:dyDescent="0.25">
      <c r="A45">
        <v>233926</v>
      </c>
      <c r="B45">
        <v>45317</v>
      </c>
      <c r="C45" t="s">
        <v>149</v>
      </c>
      <c r="D45" t="s">
        <v>150</v>
      </c>
      <c r="E45">
        <v>42947</v>
      </c>
      <c r="F45">
        <v>0.66365740740740742</v>
      </c>
      <c r="G45">
        <v>33938</v>
      </c>
      <c r="I45" t="s">
        <v>70</v>
      </c>
      <c r="J45" t="s">
        <v>65</v>
      </c>
    </row>
    <row r="46" spans="1:10" x14ac:dyDescent="0.25">
      <c r="A46">
        <v>128589</v>
      </c>
      <c r="B46">
        <v>48935</v>
      </c>
      <c r="C46" t="s">
        <v>151</v>
      </c>
      <c r="D46" t="s">
        <v>152</v>
      </c>
      <c r="E46">
        <v>43343</v>
      </c>
      <c r="F46">
        <v>0.4849074074074074</v>
      </c>
      <c r="G46">
        <v>6350</v>
      </c>
      <c r="H46">
        <v>0</v>
      </c>
      <c r="I46" t="s">
        <v>64</v>
      </c>
      <c r="J46" t="s">
        <v>65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817FE-4C21-49D9-B7CF-811CAA1701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Kulkas</dc:creator>
  <cp:lastModifiedBy>Lucas Fernandes</cp:lastModifiedBy>
  <dcterms:created xsi:type="dcterms:W3CDTF">2026-07-22T13:28:12Z</dcterms:created>
  <dcterms:modified xsi:type="dcterms:W3CDTF">2026-07-22T18:12:22Z</dcterms:modified>
</cp:coreProperties>
</file>